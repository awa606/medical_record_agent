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769c8eed1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边缘端BOM" sheetId="1" r:id="Rc05f29d91825422a"/>
    <x:sheet xmlns:r="http://schemas.openxmlformats.org/officeDocument/2006/relationships" name="零件选型依据" sheetId="2" r:id="Rd4ff557d8e4d4aed"/>
    <x:sheet xmlns:r="http://schemas.openxmlformats.org/officeDocument/2006/relationships" name="模型与部署边界" sheetId="3" r:id="Rf72e57609732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¥&quot;#,##0.00"/>
    <x:numFmt numFmtId="201" formatCode="0"/>
  </x:numFmts>
  <x:fonts count="12">
    <x:font>
      <x:sz val="11"/>
      <x:name val="Carlito"/>
    </x:font>
    <x:font>
      <x:sz val="12"/>
      <x:color rgb="FF14334F"/>
      <x:name val="Microsoft YaHei"/>
    </x:font>
    <x:font>
      <x:b/>
      <x:sz val="18"/>
      <x:color rgb="FF14334F"/>
      <x:name val="Microsoft YaHei"/>
    </x:font>
    <x:font>
      <x:sz val="11"/>
      <x:color rgb="FF526A7D"/>
      <x:name val="Microsoft YaHei"/>
    </x:font>
    <x:font>
      <x:b/>
      <x:sz val="12"/>
      <x:color rgb="FFA85A08"/>
      <x:name val="Microsoft YaHei"/>
    </x:font>
    <x:font>
      <x:b/>
      <x:sz val="12"/>
      <x:color rgb="FF14334F"/>
      <x:name val="Microsoft YaHei"/>
    </x:font>
    <x:font>
      <x:sz val="12"/>
      <x:color rgb="FF235ABC"/>
      <x:name val="Microsoft YaHei"/>
    </x:font>
    <x:font>
      <x:b/>
      <x:sz val="12"/>
      <x:color rgb="FFFFFFFF"/>
      <x:name val="Microsoft YaHei"/>
    </x:font>
    <x:font>
      <x:b/>
      <x:sz val="12"/>
      <x:color rgb="FF087F86"/>
      <x:name val="Microsoft YaHei"/>
    </x:font>
    <x:font>
      <x:sz val="12"/>
      <x:color rgb="FF14334F"/>
      <x:name val="Microsoft YaHei"/>
    </x:font>
    <x:font>
      <x:sz val="12"/>
      <x:color rgb="FF087F86"/>
      <x:name val="Microsoft YaHei"/>
    </x:font>
    <x:font>
      <x:sz val="12"/>
      <x:color rgb="FFA85A08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1DC"/>
      </x:patternFill>
    </x:fill>
    <x:fill>
      <x:patternFill patternType="solid">
        <x:fgColor rgb="FF14334F"/>
      </x:patternFill>
    </x:fill>
    <x:fill>
      <x:patternFill patternType="solid">
        <x:fgColor rgb="FFF3F8FB"/>
      </x:patternFill>
    </x:fill>
    <x:fill>
      <x:patternFill patternType="solid">
        <x:fgColor rgb="FFEAF7F6"/>
      </x:patternFill>
    </x:fill>
  </x:fills>
  <x:borders count="3">
    <x:border/>
    <x:border>
      <x:bottom style="medium">
        <x:color rgb="FF087F86"/>
      </x:bottom>
    </x:border>
    <x:border>
      <x:bottom style="thin">
        <x:color rgb="FFD8E4E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6" fillId="2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horizontal="right" vertical="center" wrapText="1"/>
    </x:xf>
    <x:xf numFmtId="200" fontId="1" fillId="2" borderId="2" xfId="0" applyNumberFormat="1" applyFont="1" applyFill="1" applyBorder="1" applyAlignment="1">
      <x:alignment horizontal="right"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200" fontId="6" fillId="5" borderId="2" xfId="0" applyNumberFormat="1" applyFont="1" applyFill="1" applyBorder="1" applyAlignment="1">
      <x:alignment horizontal="right" vertical="center" wrapText="1"/>
    </x:xf>
    <x:xf numFmtId="200" fontId="6" fillId="2" borderId="2" xfId="0" applyNumberFormat="1" applyFont="1" applyFill="1" applyBorder="1" applyAlignment="1">
      <x:alignment horizontal="right" vertical="center" wrapText="1"/>
    </x:xf>
    <x:xf numFmtId="200" fontId="6" fillId="3" borderId="2" xfId="0" applyNumberFormat="1" applyFont="1" applyFill="1" applyBorder="1" applyAlignment="1">
      <x:alignment horizontal="right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ed1ca92fc44d7" /><Relationship Type="http://schemas.openxmlformats.org/officeDocument/2006/relationships/theme" Target="/xl/theme/theme1.xml" Id="Rb86ac020f15b491e" /><Relationship Type="http://schemas.openxmlformats.org/officeDocument/2006/relationships/sharedStrings" Target="/xl/sharedStrings.xml" Id="R9f59ac2a71b142a8" /><Relationship Type="http://schemas.openxmlformats.org/officeDocument/2006/relationships/worksheet" Target="/xl/worksheets/sheet1.xml" Id="Rc05f29d91825422a" /><Relationship Type="http://schemas.openxmlformats.org/officeDocument/2006/relationships/worksheet" Target="/xl/worksheets/sheet2.xml" Id="Rd4ff557d8e4d4aed" /><Relationship Type="http://schemas.openxmlformats.org/officeDocument/2006/relationships/worksheet" Target="/xl/worksheets/sheet3.xml" Id="Rf72e576097324b45" /></Relationships>
</file>

<file path=xl/tables/table1.xml><?xml version="1.0" encoding="utf-8"?>
<x:table xmlns:x="http://schemas.openxmlformats.org/spreadsheetml/2006/main" id="1" name="EdgeProcurement" displayName="EdgeProcurement" ref="A13:K19" headerRowCount="1" totalsRowCount="0" totalsRowShown="0">
  <x:autoFilter ref="A13:K19"/>
  <x:tableColumns count="11">
    <x:tableColumn id="1" name="编号"/>
    <x:tableColumn id="2" name="采购项目 / 规格"/>
    <x:tableColumn id="3" name="数量"/>
    <x:tableColumn id="4" name="单位"/>
    <x:tableColumn id="5" name="套件包含关系"/>
    <x:tableColumn id="6" name="单价（元）"/>
    <x:tableColumn id="7" name="金额（元）"/>
    <x:tableColumn id="8" name="价格性质"/>
    <x:tableColumn id="9" name="来源 / 日期"/>
    <x:tableColumn id="10" name="选择原因"/>
    <x:tableColumn id="11" name="待验证项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dgeSelection" displayName="EdgeSelection" ref="A6:F16" headerRowCount="1" totalsRowCount="0" totalsRowShown="0">
  <x:autoFilter ref="A6:F16"/>
  <x:tableColumns count="6">
    <x:tableColumn id="1" name="组件 / 计价 / 依据"/>
    <x:tableColumn id="2" name="承担什么功能"/>
    <x:tableColumn id="3" name="为什么选择"/>
    <x:tableColumn id="4" name="替代方案及取舍"/>
    <x:tableColumn id="5" name="兼容要求"/>
    <x:tableColumn id="6" name="如何验证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EdgeBoundary" displayName="EdgeBoundary" ref="A6:D20" headerRowCount="1" totalsRowCount="0" totalsRowShown="0">
  <x:autoFilter ref="A6:D20"/>
  <x:tableColumns count="4">
    <x:tableColumn id="1" name="项目"/>
    <x:tableColumn id="2" name="候选方案 / 依据"/>
    <x:tableColumn id="3" name="事实状态"/>
    <x:tableColumn id="4" name="边界与验证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7d639748244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556201c7d84b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ad4b0dd2874211" /></Relationships>
</file>

<file path=xl/worksheets/sheet1.xml><?xml version="1.0" encoding="utf-8"?>
<x:worksheet xmlns:x="http://schemas.openxmlformats.org/spreadsheetml/2006/main">
  <x:sheetPr>
    <x:tabColor rgb="FF14334F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8.75" hidden="0" customWidth="1"/>
    <x:col min="2" max="2" width="32.5" hidden="0" customWidth="1"/>
    <x:col min="3" max="3" width="6.880000114440918" hidden="0" customWidth="1"/>
    <x:col min="4" max="4" width="7.5" hidden="0" customWidth="1"/>
    <x:col min="5" max="5" width="14.380000114440918" hidden="0" customWidth="1"/>
    <x:col min="6" max="6" width="12.5" hidden="0" customWidth="1"/>
    <x:col min="7" max="7" width="13.75" hidden="0" customWidth="1"/>
    <x:col min="8" max="8" width="18.75" hidden="0" customWidth="1"/>
    <x:col min="9" max="9" width="16.25" hidden="0" customWidth="1"/>
    <x:col min="10" max="10" width="29.3799991607666" hidden="0" customWidth="1"/>
    <x:col min="11" max="11" width="31.8799991607666" hidden="0" customWidth="1"/>
  </x:cols>
  <x:sheetData>
    <x:row r="1" ht="12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6" t="str">
        <x:v>1.1 Jetson GPU边缘端采购BOM</x:v>
      </x:c>
      <x:c r="B2" s="6" t="str">
        <x:v>1.1 Jetson GPU边缘端采购BOM</x:v>
      </x:c>
      <x:c r="C2" s="6" t="str">
        <x:v>1.1 Jetson GPU边缘端采购BOM</x:v>
      </x:c>
      <x:c r="D2" s="6" t="str">
        <x:v>1.1 Jetson GPU边缘端采购BOM</x:v>
      </x:c>
      <x:c r="E2" s="6" t="str">
        <x:v>1.1 Jetson GPU边缘端采购BOM</x:v>
      </x:c>
      <x:c r="F2" s="6" t="str">
        <x:v>1.1 Jetson GPU边缘端采购BOM</x:v>
      </x:c>
      <x:c r="G2" s="6" t="str">
        <x:v>1.1 Jetson GPU边缘端采购BOM</x:v>
      </x:c>
      <x:c r="H2" s="6" t="str">
        <x:v>1.1 Jetson GPU边缘端采购BOM</x:v>
      </x:c>
      <x:c r="I2" s="6" t="str">
        <x:v>1.1 Jetson GPU边缘端采购BOM</x:v>
      </x:c>
      <x:c r="J2" s="6" t="str">
        <x:v>1.1 Jetson GPU边缘端采购BOM</x:v>
      </x:c>
      <x:c r="K2" s="6" t="str">
        <x:v>1.1 Jetson GPU边缘端采购BOM</x:v>
      </x:c>
    </x:row>
    <x:row r="3" ht="25.5" customHeight="1">
      <x:c r="A3" s="7" t="str">
        <x:v>原计划：2026-09-11前3h　参考价查询：2026-09-13　修订导出：2026-09-14　负责人：李国毅</x:v>
      </x:c>
      <x:c r="B3" s="7" t="str">
        <x:v>原计划：2026-09-11前3h　参考价查询：2026-09-13　修订导出：2026-09-14　负责人：李国毅</x:v>
      </x:c>
      <x:c r="C3" s="7" t="str">
        <x:v>原计划：2026-09-11前3h　参考价查询：2026-09-13　修订导出：2026-09-14　负责人：李国毅</x:v>
      </x:c>
      <x:c r="D3" s="7" t="str">
        <x:v>原计划：2026-09-11前3h　参考价查询：2026-09-13　修订导出：2026-09-14　负责人：李国毅</x:v>
      </x:c>
      <x:c r="E3" s="7" t="str">
        <x:v>原计划：2026-09-11前3h　参考价查询：2026-09-13　修订导出：2026-09-14　负责人：李国毅</x:v>
      </x:c>
      <x:c r="F3" s="7" t="str">
        <x:v>原计划：2026-09-11前3h　参考价查询：2026-09-13　修订导出：2026-09-14　负责人：李国毅</x:v>
      </x:c>
      <x:c r="G3" s="7" t="str">
        <x:v>原计划：2026-09-11前3h　参考价查询：2026-09-13　修订导出：2026-09-14　负责人：李国毅</x:v>
      </x:c>
      <x:c r="H3" s="7" t="str">
        <x:v>原计划：2026-09-11前3h　参考价查询：2026-09-13　修订导出：2026-09-14　负责人：李国毅</x:v>
      </x:c>
      <x:c r="I3" s="7" t="str">
        <x:v>原计划：2026-09-11前3h　参考价查询：2026-09-13　修订导出：2026-09-14　负责人：李国毅</x:v>
      </x:c>
      <x:c r="J3" s="7" t="str">
        <x:v>原计划：2026-09-11前3h　参考价查询：2026-09-13　修订导出：2026-09-14　负责人：李国毅</x:v>
      </x:c>
      <x:c r="K3" s="7" t="str">
        <x:v>原计划：2026-09-11前3h　参考价查询：2026-09-13　修订导出：2026-09-14　负责人：李国毅</x:v>
      </x:c>
    </x:row>
    <x:row r="4" ht="40.5" customHeight="1">
      <x:c r="A4" s="9" t="str">
        <x:v>候选配置，待实机验证。NEEDS VALIDATION。2070元为官方参考价；配件报价未齐时不能确认≤3000元。</x:v>
      </x:c>
      <x:c r="B4" s="9" t="str">
        <x:v>候选配置，待实机验证。NEEDS VALIDATION。2070元为官方参考价；配件报价未齐时不能确认≤3000元。</x:v>
      </x:c>
      <x:c r="C4" s="9" t="str">
        <x:v>候选配置，待实机验证。NEEDS VALIDATION。2070元为官方参考价；配件报价未齐时不能确认≤3000元。</x:v>
      </x:c>
      <x:c r="D4" s="9" t="str">
        <x:v>候选配置，待实机验证。NEEDS VALIDATION。2070元为官方参考价；配件报价未齐时不能确认≤3000元。</x:v>
      </x:c>
      <x:c r="E4" s="9" t="str">
        <x:v>候选配置，待实机验证。NEEDS VALIDATION。2070元为官方参考价；配件报价未齐时不能确认≤3000元。</x:v>
      </x:c>
      <x:c r="F4" s="9" t="str">
        <x:v>候选配置，待实机验证。NEEDS VALIDATION。2070元为官方参考价；配件报价未齐时不能确认≤3000元。</x:v>
      </x:c>
      <x:c r="G4" s="9" t="str">
        <x:v>候选配置，待实机验证。NEEDS VALIDATION。2070元为官方参考价；配件报价未齐时不能确认≤3000元。</x:v>
      </x:c>
      <x:c r="H4" s="9" t="str">
        <x:v>候选配置，待实机验证。NEEDS VALIDATION。2070元为官方参考价；配件报价未齐时不能确认≤3000元。</x:v>
      </x:c>
      <x:c r="I4" s="9" t="str">
        <x:v>候选配置，待实机验证。NEEDS VALIDATION。2070元为官方参考价；配件报价未齐时不能确认≤3000元。</x:v>
      </x:c>
      <x:c r="J4" s="9" t="str">
        <x:v>候选配置，待实机验证。NEEDS VALIDATION。2070元为官方参考价；配件报价未齐时不能确认≤3000元。</x:v>
      </x:c>
      <x:c r="K4" s="9" t="str">
        <x:v>候选配置，待实机验证。NEEDS VALIDATION。2070元为官方参考价；配件报价未齐时不能确认≤3000元。</x:v>
      </x:c>
    </x:row>
    <x:row r="5" ht="26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 ht="27" customHeight="1">
      <x:c r="A6" s="10" t="str">
        <x:v>预算目标</x:v>
      </x:c>
      <x:c r="B6" s="10" t="str">
        <x:v>预算目标</x:v>
      </x:c>
      <x:c r="C6" s="10" t="str">
        <x:v>预算目标</x:v>
      </x:c>
      <x:c r="D6" s="14" t="n">
        <x:v>3000</x:v>
      </x:c>
      <x:c r="E6" s="14"/>
      <x:c r="F6" s="7" t="str">
        <x:v>人民币。核算新增边缘设备、采音及必要配件。</x:v>
      </x:c>
      <x:c r="G6" s="7" t="str">
        <x:v>人民币。核算新增边缘设备、采音及必要配件。</x:v>
      </x:c>
      <x:c r="H6" s="7" t="str">
        <x:v>人民币。核算新增边缘设备、采音及必要配件。</x:v>
      </x:c>
      <x:c r="I6" s="7" t="str">
        <x:v>人民币。核算新增边缘设备、采音及必要配件。</x:v>
      </x:c>
      <x:c r="J6" s="7" t="str">
        <x:v>人民币。核算新增边缘设备、采音及必要配件。</x:v>
      </x:c>
      <x:c r="K6" s="7" t="str">
        <x:v>人民币。核算新增边缘设备、采音及必要配件。</x:v>
      </x:c>
    </x:row>
    <x:row r="7" ht="27" customHeight="1">
      <x:c r="A7" s="10" t="str">
        <x:v>已知价格小计</x:v>
      </x:c>
      <x:c r="B7" s="10" t="str">
        <x:v>已知价格小计</x:v>
      </x:c>
      <x:c r="C7" s="10" t="str">
        <x:v>已知价格小计</x:v>
      </x:c>
      <x:c r="D7" s="12" t="n">
        <x:f>IF(COUNT(F14:F19)=0,"暂无可靠价格",SUM(G14:G19))</x:f>
        <x:v>2070</x:v>
      </x:c>
      <x:c r="E7" s="12"/>
      <x:c r="F7" s="7" t="str">
        <x:v>仅统计已填价格；不代表完整采购总额。</x:v>
      </x:c>
      <x:c r="G7" s="7" t="str">
        <x:v>仅统计已填价格；不代表完整采购总额。</x:v>
      </x:c>
      <x:c r="H7" s="7" t="str">
        <x:v>仅统计已填价格；不代表完整采购总额。</x:v>
      </x:c>
      <x:c r="I7" s="7" t="str">
        <x:v>仅统计已填价格；不代表完整采购总额。</x:v>
      </x:c>
      <x:c r="J7" s="7" t="str">
        <x:v>仅统计已填价格；不代表完整采购总额。</x:v>
      </x:c>
      <x:c r="K7" s="7" t="str">
        <x:v>仅统计已填价格；不代表完整采购总额。</x:v>
      </x:c>
    </x:row>
    <x:row r="8" ht="27" customHeight="1">
      <x:c r="A8" s="10" t="str">
        <x:v>缺价项目数</x:v>
      </x:c>
      <x:c r="B8" s="10" t="str">
        <x:v>缺价项目数</x:v>
      </x:c>
      <x:c r="C8" s="10" t="str">
        <x:v>缺价项目数</x:v>
      </x:c>
      <x:c r="D8" s="13" t="n">
        <x:f>ROWS(F14:F19)-COUNT(F14:F19)</x:f>
        <x:v>5</x:v>
      </x:c>
      <x:c r="E8" s="13"/>
      <x:c r="F8" s="7" t="str">
        <x:v>空白保留为未知，不以零元代替；数量和单价均可编辑。</x:v>
      </x:c>
      <x:c r="G8" s="7" t="str">
        <x:v>空白保留为未知，不以零元代替；数量和单价均可编辑。</x:v>
      </x:c>
      <x:c r="H8" s="7" t="str">
        <x:v>空白保留为未知，不以零元代替；数量和单价均可编辑。</x:v>
      </x:c>
      <x:c r="I8" s="7" t="str">
        <x:v>空白保留为未知，不以零元代替；数量和单价均可编辑。</x:v>
      </x:c>
      <x:c r="J8" s="7" t="str">
        <x:v>空白保留为未知，不以零元代替；数量和单价均可编辑。</x:v>
      </x:c>
      <x:c r="K8" s="7" t="str">
        <x:v>空白保留为未知，不以零元代替；数量和单价均可编辑。</x:v>
      </x:c>
    </x:row>
    <x:row r="9" ht="27" customHeight="1">
      <x:c r="A9" s="10" t="str">
        <x:v>完整采购总额</x:v>
      </x:c>
      <x:c r="B9" s="10" t="str">
        <x:v>完整采购总额</x:v>
      </x:c>
      <x:c r="C9" s="10" t="str">
        <x:v>完整采购总额</x:v>
      </x:c>
      <x:c r="D9" s="15" t="str">
        <x:f>IF(D8&gt;0,"报价未齐",SUM(G14:G19))</x:f>
        <x:v>报价未齐</x:v>
      </x:c>
      <x:c r="E9" s="15"/>
      <x:c r="F9" s="7" t="str">
        <x:v>只有六个采购行完整计价后才显示数值。</x:v>
      </x:c>
      <x:c r="G9" s="7" t="str">
        <x:v>只有六个采购行完整计价后才显示数值。</x:v>
      </x:c>
      <x:c r="H9" s="7" t="str">
        <x:v>只有六个采购行完整计价后才显示数值。</x:v>
      </x:c>
      <x:c r="I9" s="7" t="str">
        <x:v>只有六个采购行完整计价后才显示数值。</x:v>
      </x:c>
      <x:c r="J9" s="7" t="str">
        <x:v>只有六个采购行完整计价后才显示数值。</x:v>
      </x:c>
      <x:c r="K9" s="7" t="str">
        <x:v>只有六个采购行完整计价后才显示数值。</x:v>
      </x:c>
    </x:row>
    <x:row r="10" ht="27" customHeight="1">
      <x:c r="A10" s="10" t="str">
        <x:v>最终预算余额</x:v>
      </x:c>
      <x:c r="B10" s="10" t="str">
        <x:v>最终预算余额</x:v>
      </x:c>
      <x:c r="C10" s="10" t="str">
        <x:v>最终预算余额</x:v>
      </x:c>
      <x:c r="D10" s="15" t="str">
        <x:f>IF(D8&gt;0,"报价未齐",D6-D9)</x:f>
        <x:v>报价未齐</x:v>
      </x:c>
      <x:c r="E10" s="15"/>
      <x:c r="F10" s="7" t="str">
        <x:v>930元仅为3000减去已知参考价，不能当最终余额。</x:v>
      </x:c>
      <x:c r="G10" s="7" t="str">
        <x:v>930元仅为3000减去已知参考价，不能当最终余额。</x:v>
      </x:c>
      <x:c r="H10" s="7" t="str">
        <x:v>930元仅为3000减去已知参考价，不能当最终余额。</x:v>
      </x:c>
      <x:c r="I10" s="7" t="str">
        <x:v>930元仅为3000减去已知参考价，不能当最终余额。</x:v>
      </x:c>
      <x:c r="J10" s="7" t="str">
        <x:v>930元仅为3000减去已知参考价，不能当最终余额。</x:v>
      </x:c>
      <x:c r="K10" s="7" t="str">
        <x:v>930元仅为3000减去已知参考价，不能当最终余额。</x:v>
      </x:c>
    </x:row>
    <x:row r="11" ht="27" customHeight="1">
      <x:c r="A11" s="10" t="str">
        <x:v>预算判断</x:v>
      </x:c>
      <x:c r="B11" s="10" t="str">
        <x:v>预算判断</x:v>
      </x:c>
      <x:c r="C11" s="10" t="str">
        <x:v>预算判断</x:v>
      </x:c>
      <x:c r="D11" s="16" t="str">
        <x:f>IF(D8&gt;0,"报价未齐",IF(D10&lt;0,"超出预算","按所填价格未超预算"))</x:f>
        <x:v>报价未齐</x:v>
      </x:c>
      <x:c r="E11" s="16"/>
      <x:c r="F11" s="7" t="str">
        <x:v>税费、运费及现场必需安装配件仍须核对，不自动判定工程通过。</x:v>
      </x:c>
      <x:c r="G11" s="7" t="str">
        <x:v>税费、运费及现场必需安装配件仍须核对，不自动判定工程通过。</x:v>
      </x:c>
      <x:c r="H11" s="7" t="str">
        <x:v>税费、运费及现场必需安装配件仍须核对，不自动判定工程通过。</x:v>
      </x:c>
      <x:c r="I11" s="7" t="str">
        <x:v>税费、运费及现场必需安装配件仍须核对，不自动判定工程通过。</x:v>
      </x:c>
      <x:c r="J11" s="7" t="str">
        <x:v>税费、运费及现场必需安装配件仍须核对，不自动判定工程通过。</x:v>
      </x:c>
      <x:c r="K11" s="7" t="str">
        <x:v>税费、运费及现场必需安装配件仍须核对，不自动判定工程通过。</x:v>
      </x:c>
    </x:row>
    <x:row r="12" ht="26.25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34.5" customHeight="1">
      <x:c r="A13" s="19" t="str">
        <x:v>编号</x:v>
      </x:c>
      <x:c r="B13" s="19" t="str">
        <x:v>采购项目 / 规格</x:v>
      </x:c>
      <x:c r="C13" s="19" t="str">
        <x:v>数量</x:v>
      </x:c>
      <x:c r="D13" s="19" t="str">
        <x:v>单位</x:v>
      </x:c>
      <x:c r="E13" s="19" t="str">
        <x:v>套件包含关系</x:v>
      </x:c>
      <x:c r="F13" s="19" t="str">
        <x:v>单价（元）</x:v>
      </x:c>
      <x:c r="G13" s="19" t="str">
        <x:v>金额（元）</x:v>
      </x:c>
      <x:c r="H13" s="19" t="str">
        <x:v>价格性质</x:v>
      </x:c>
      <x:c r="I13" s="19" t="str">
        <x:v>来源 / 日期</x:v>
      </x:c>
      <x:c r="J13" s="19" t="str">
        <x:v>选择原因</x:v>
      </x:c>
      <x:c r="K13" s="19" t="str">
        <x:v>待验证项</x:v>
      </x:c>
    </x:row>
    <x:row r="14" ht="84" customHeight="1">
      <x:c r="A14" s="21" t="str">
        <x:v>P01</x:v>
      </x:c>
      <x:c r="B14" s="21" t="str">
        <x:v>Jetson Orin Nano Super开发套件
8GB开发套件，官方载板与原装散热</x:v>
      </x:c>
      <x:c r="C14" s="27" t="n">
        <x:v>1</x:v>
      </x:c>
      <x:c r="D14" s="21" t="str">
        <x:v>套</x:v>
      </x:c>
      <x:c r="E14" s="21" t="str">
        <x:v>整体采购一次</x:v>
      </x:c>
      <x:c r="F14" s="29" t="n">
        <x:v>2070</x:v>
      </x:c>
      <x:c r="G14" s="25" t="n">
        <x:f>IF(F14="","",C14*F14)</x:f>
        <x:v>2070</x:v>
      </x:c>
      <x:c r="H14" s="21" t="str">
        <x:v>官方参考价，非采购报价</x:v>
      </x:c>
      <x:c r="I14" s="21" t="str">
        <x:v>S01 / 2026-09-13</x:v>
      </x:c>
      <x:c r="J14" s="21" t="str">
        <x:v>一次采购计算模组、载板、散热和配套电源，减少硬件整合变量。</x:v>
      </x:c>
      <x:c r="K14" s="21" t="str">
        <x:v>核对完整SKU、包装清单、19V电源及含税运费总价。</x:v>
      </x:c>
    </x:row>
    <x:row r="15" ht="84" customHeight="1">
      <x:c r="A15" s="22" t="str">
        <x:v>P02</x:v>
      </x:c>
      <x:c r="B15" s="22" t="str">
        <x:v>NVMe SSD
512GB / M.2 2280 / NVMe；品牌型号待定</x:v>
      </x:c>
      <x:c r="C15" s="28" t="n">
        <x:v>1</x:v>
      </x:c>
      <x:c r="D15" s="22" t="str">
        <x:v>块</x:v>
      </x:c>
      <x:c r="E15" s="22" t="str">
        <x:v>独立采购</x:v>
      </x:c>
      <x:c r="F15" s="31"/>
      <x:c r="G15" s="26" t="str">
        <x:f>IF(F15="","",C15*F15)</x:f>
      </x:c>
      <x:c r="H15" s="22" t="str">
        <x:v>待报价</x:v>
      </x:c>
      <x:c r="I15" s="22" t="str">
        <x:v>规格S03；价格未取得</x:v>
      </x:c>
      <x:c r="J15" s="22" t="str">
        <x:v>集中保存系统、容器、模型、音频与数据库，预留运行空间。</x:v>
      </x:c>
      <x:c r="K15" s="22" t="str">
        <x:v>必须是NVMe而非SATA；部署后可用空间至少100GB。</x:v>
      </x:c>
    </x:row>
    <x:row r="16" ht="84" customHeight="1">
      <x:c r="A16" s="21" t="str">
        <x:v>P03</x:v>
      </x:c>
      <x:c r="B16" s="21" t="str">
        <x:v>保护外壳及安装件
兼容官方载板、原装散热及2280 SSD；型号待定</x:v>
      </x:c>
      <x:c r="C16" s="27" t="n">
        <x:v>1</x:v>
      </x:c>
      <x:c r="D16" s="21" t="str">
        <x:v>套</x:v>
      </x:c>
      <x:c r="E16" s="21" t="str">
        <x:v>独立采购</x:v>
      </x:c>
      <x:c r="F16" s="31"/>
      <x:c r="G16" s="25" t="str">
        <x:f>IF(F16="","",C16*F16)</x:f>
      </x:c>
      <x:c r="H16" s="21" t="str">
        <x:v>待报价</x:v>
      </x:c>
      <x:c r="I16" s="21" t="str">
        <x:v>按兼容要求询价</x:v>
      </x:c>
      <x:c r="J16" s="21" t="str">
        <x:v>保护板卡并固定走线，保持主动散热风道。</x:v>
      </x:c>
      <x:c r="K16" s="21" t="str">
        <x:v>孔位、风扇高度、SSD间隙、接口开口及绝缘安装。</x:v>
      </x:c>
    </x:row>
    <x:row r="17" ht="84" customHeight="1">
      <x:c r="A17" s="22" t="str">
        <x:v>P04</x:v>
      </x:c>
      <x:c r="B17" s="22" t="str">
        <x:v>USB会议麦克风
连接现有电脑；USB音频设备；型号待定</x:v>
      </x:c>
      <x:c r="C17" s="28" t="n">
        <x:v>1</x:v>
      </x:c>
      <x:c r="D17" s="22" t="str">
        <x:v>个</x:v>
      </x:c>
      <x:c r="E17" s="22" t="str">
        <x:v>独立采购</x:v>
      </x:c>
      <x:c r="F17" s="31"/>
      <x:c r="G17" s="26" t="str">
        <x:f>IF(F17="","",C17*F17)</x:f>
      </x:c>
      <x:c r="H17" s="22" t="str">
        <x:v>待报价</x:v>
      </x:c>
      <x:c r="I17" s="22" t="str">
        <x:v>按采音要求询价</x:v>
      </x:c>
      <x:c r="J17" s="22" t="str">
        <x:v>采集双方问诊语音，减少自制音频电路与驱动工作。</x:v>
      </x:c>
      <x:c r="K17" s="22" t="str">
        <x:v>浏览器识别、双方清晰度、噪声与削波；设备不保证角色识别。</x:v>
      </x:c>
    </x:row>
    <x:row r="18" ht="84" customHeight="1">
      <x:c r="A18" s="21" t="str">
        <x:v>P05</x:v>
      </x:c>
      <x:c r="B18" s="21" t="str">
        <x:v>网线
Cat5e或Cat6成品线；长度现场核对</x:v>
      </x:c>
      <x:c r="C18" s="27" t="n">
        <x:v>1</x:v>
      </x:c>
      <x:c r="D18" s="21" t="str">
        <x:v>根</x:v>
      </x:c>
      <x:c r="E18" s="21" t="str">
        <x:v>独立采购</x:v>
      </x:c>
      <x:c r="F18" s="31"/>
      <x:c r="G18" s="25" t="str">
        <x:f>IF(F18="","",C18*F18)</x:f>
      </x:c>
      <x:c r="H18" s="21" t="str">
        <x:v>待报价</x:v>
      </x:c>
      <x:c r="I18" s="21" t="str">
        <x:v>按接线长度询价</x:v>
      </x:c>
      <x:c r="J18" s="21" t="str">
        <x:v>连接Jetson与既有路由器或交换机，降低网络变量。</x:v>
      </x:c>
      <x:c r="K18" s="21" t="str">
        <x:v>电脑已有网络连接属外部前提；新增第二根时修改数量。</x:v>
      </x:c>
    </x:row>
    <x:row r="19" ht="84" customHeight="1">
      <x:c r="A19" s="22" t="str">
        <x:v>P06</x:v>
      </x:c>
      <x:c r="B19" s="22" t="str">
        <x:v>USB安装介质
至少16GB USB安装盘；按实际镜像大小复核</x:v>
      </x:c>
      <x:c r="C19" s="28" t="n">
        <x:v>1</x:v>
      </x:c>
      <x:c r="D19" s="22" t="str">
        <x:v>个</x:v>
      </x:c>
      <x:c r="E19" s="22" t="str">
        <x:v>独立采购</x:v>
      </x:c>
      <x:c r="F19" s="31"/>
      <x:c r="G19" s="26" t="str">
        <x:f>IF(F19="","",C19*F19)</x:f>
      </x:c>
      <x:c r="H19" s="22" t="str">
        <x:v>待报价，尚未确认可复用</x:v>
      </x:c>
      <x:c r="I19" s="22" t="str">
        <x:v>规格S02；价格未取得</x:v>
      </x:c>
      <x:c r="J19" s="22" t="str">
        <x:v>作为部署工具写入系统安装介质，与运行SSD分离。</x:v>
      </x:c>
      <x:c r="K19" s="22" t="str">
        <x:v>确认容量与介质可靠性；若复用需记录实物，不能把未知当零元。</x:v>
      </x:c>
    </x:row>
    <x:row r="20" ht="26.25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 ht="27" customHeight="1">
      <x:c r="A21" s="33" t="str">
        <x:v>套件内部展开：以下部件全部包含在P01，不独立报价、不重复加总。</x:v>
      </x:c>
      <x:c r="B21" s="33" t="str">
        <x:v>套件内部展开：以下部件全部包含在P01，不独立报价、不重复加总。</x:v>
      </x:c>
      <x:c r="C21" s="33" t="str">
        <x:v>套件内部展开：以下部件全部包含在P01，不独立报价、不重复加总。</x:v>
      </x:c>
      <x:c r="D21" s="33" t="str">
        <x:v>套件内部展开：以下部件全部包含在P01，不独立报价、不重复加总。</x:v>
      </x:c>
      <x:c r="E21" s="33" t="str">
        <x:v>套件内部展开：以下部件全部包含在P01，不独立报价、不重复加总。</x:v>
      </x:c>
      <x:c r="F21" s="33" t="str">
        <x:v>套件内部展开：以下部件全部包含在P01，不独立报价、不重复加总。</x:v>
      </x:c>
      <x:c r="G21" s="33" t="str">
        <x:v>套件内部展开：以下部件全部包含在P01，不独立报价、不重复加总。</x:v>
      </x:c>
      <x:c r="H21" s="33" t="str">
        <x:v>套件内部展开：以下部件全部包含在P01，不独立报价、不重复加总。</x:v>
      </x:c>
      <x:c r="I21" s="33" t="str">
        <x:v>套件内部展开：以下部件全部包含在P01，不独立报价、不重复加总。</x:v>
      </x:c>
      <x:c r="J21" s="33" t="str">
        <x:v>套件内部展开：以下部件全部包含在P01，不独立报价、不重复加总。</x:v>
      </x:c>
      <x:c r="K21" s="33" t="str">
        <x:v>套件内部展开：以下部件全部包含在P01，不独立报价、不重复加总。</x:v>
      </x:c>
    </x:row>
    <x:row r="22" ht="36" customHeight="1">
      <x:c r="A22" s="10" t="str">
        <x:v>C01 计算模组</x:v>
      </x:c>
      <x:c r="B22" s="10" t="str">
        <x:v>C01 计算模组</x:v>
      </x:c>
      <x:c r="C22" s="34" t="str">
        <x:v>Orin Nano Super 8GB，Arm CPU与Ampere GPU</x:v>
      </x:c>
      <x:c r="D22" s="34" t="str">
        <x:v>Orin Nano Super 8GB，Arm CPU与Ampere GPU</x:v>
      </x:c>
      <x:c r="E22" s="34" t="str">
        <x:v>Orin Nano Super 8GB，Arm CPU与Ampere GPU</x:v>
      </x:c>
      <x:c r="F22" s="34" t="str">
        <x:v>Orin Nano Super 8GB，Arm CPU与Ampere GPU</x:v>
      </x:c>
      <x:c r="G22" s="34" t="str">
        <x:v>Orin Nano Super 8GB，Arm CPU与Ampere GPU</x:v>
      </x:c>
      <x:c r="H22" s="35" t="str">
        <x:v>P01套件内；不另计采购金额。</x:v>
      </x:c>
      <x:c r="I22" s="35" t="str">
        <x:v>P01套件内；不另计采购金额。</x:v>
      </x:c>
      <x:c r="J22" s="35" t="str">
        <x:v>P01套件内；不另计采购金额。</x:v>
      </x:c>
      <x:c r="K22" s="35" t="str">
        <x:v>P01套件内；不另计采购金额。</x:v>
      </x:c>
    </x:row>
    <x:row r="23" ht="36" customHeight="1">
      <x:c r="A23" s="10" t="str">
        <x:v>C02 官方载板</x:v>
      </x:c>
      <x:c r="B23" s="10" t="str">
        <x:v>C02 官方载板</x:v>
      </x:c>
      <x:c r="C23" s="34" t="str">
        <x:v>开发套件官方载板</x:v>
      </x:c>
      <x:c r="D23" s="34" t="str">
        <x:v>开发套件官方载板</x:v>
      </x:c>
      <x:c r="E23" s="34" t="str">
        <x:v>开发套件官方载板</x:v>
      </x:c>
      <x:c r="F23" s="34" t="str">
        <x:v>开发套件官方载板</x:v>
      </x:c>
      <x:c r="G23" s="34" t="str">
        <x:v>开发套件官方载板</x:v>
      </x:c>
      <x:c r="H23" s="35" t="str">
        <x:v>P01套件内；不另计采购金额。</x:v>
      </x:c>
      <x:c r="I23" s="35" t="str">
        <x:v>P01套件内；不另计采购金额。</x:v>
      </x:c>
      <x:c r="J23" s="35" t="str">
        <x:v>P01套件内；不另计采购金额。</x:v>
      </x:c>
      <x:c r="K23" s="35" t="str">
        <x:v>P01套件内；不另计采购金额。</x:v>
      </x:c>
    </x:row>
    <x:row r="24" ht="36" customHeight="1">
      <x:c r="A24" s="10" t="str">
        <x:v>C03 板载共享内存</x:v>
      </x:c>
      <x:c r="B24" s="10" t="str">
        <x:v>C03 板载共享内存</x:v>
      </x:c>
      <x:c r="C24" s="34" t="str">
        <x:v>8GB LPDDR5，由CPU与GPU共享</x:v>
      </x:c>
      <x:c r="D24" s="34" t="str">
        <x:v>8GB LPDDR5，由CPU与GPU共享</x:v>
      </x:c>
      <x:c r="E24" s="34" t="str">
        <x:v>8GB LPDDR5，由CPU与GPU共享</x:v>
      </x:c>
      <x:c r="F24" s="34" t="str">
        <x:v>8GB LPDDR5，由CPU与GPU共享</x:v>
      </x:c>
      <x:c r="G24" s="34" t="str">
        <x:v>8GB LPDDR5，由CPU与GPU共享</x:v>
      </x:c>
      <x:c r="H24" s="35" t="str">
        <x:v>P01计算模组内；不另计采购金额。</x:v>
      </x:c>
      <x:c r="I24" s="35" t="str">
        <x:v>P01计算模组内；不另计采购金额。</x:v>
      </x:c>
      <x:c r="J24" s="35" t="str">
        <x:v>P01计算模组内；不另计采购金额。</x:v>
      </x:c>
      <x:c r="K24" s="35" t="str">
        <x:v>P01计算模组内；不另计采购金额。</x:v>
      </x:c>
    </x:row>
    <x:row r="25" ht="36" customHeight="1">
      <x:c r="A25" s="10" t="str">
        <x:v>C05 19V电源适配器</x:v>
      </x:c>
      <x:c r="B25" s="10" t="str">
        <x:v>C05 19V电源适配器</x:v>
      </x:c>
      <x:c r="C25" s="34" t="str">
        <x:v>原厂配套电源，额定值以铭牌为准</x:v>
      </x:c>
      <x:c r="D25" s="34" t="str">
        <x:v>原厂配套电源，额定值以铭牌为准</x:v>
      </x:c>
      <x:c r="E25" s="34" t="str">
        <x:v>原厂配套电源，额定值以铭牌为准</x:v>
      </x:c>
      <x:c r="F25" s="34" t="str">
        <x:v>原厂配套电源，额定值以铭牌为准</x:v>
      </x:c>
      <x:c r="G25" s="34" t="str">
        <x:v>原厂配套电源，额定值以铭牌为准</x:v>
      </x:c>
      <x:c r="H25" s="35" t="str">
        <x:v>P01套件内；不另计采购金额。</x:v>
      </x:c>
      <x:c r="I25" s="35" t="str">
        <x:v>P01套件内；不另计采购金额。</x:v>
      </x:c>
      <x:c r="J25" s="35" t="str">
        <x:v>P01套件内；不另计采购金额。</x:v>
      </x:c>
      <x:c r="K25" s="35" t="str">
        <x:v>P01套件内；不另计采购金额。</x:v>
      </x:c>
    </x:row>
    <x:row r="26" ht="36" customHeight="1">
      <x:c r="A26" s="10" t="str">
        <x:v>C06 散热器与风扇</x:v>
      </x:c>
      <x:c r="B26" s="10" t="str">
        <x:v>C06 散热器与风扇</x:v>
      </x:c>
      <x:c r="C26" s="34" t="str">
        <x:v>套件原装主动散热，保留风扇</x:v>
      </x:c>
      <x:c r="D26" s="34" t="str">
        <x:v>套件原装主动散热，保留风扇</x:v>
      </x:c>
      <x:c r="E26" s="34" t="str">
        <x:v>套件原装主动散热，保留风扇</x:v>
      </x:c>
      <x:c r="F26" s="34" t="str">
        <x:v>套件原装主动散热，保留风扇</x:v>
      </x:c>
      <x:c r="G26" s="34" t="str">
        <x:v>套件原装主动散热，保留风扇</x:v>
      </x:c>
      <x:c r="H26" s="35" t="str">
        <x:v>P01套件内；不另计采购金额。</x:v>
      </x:c>
      <x:c r="I26" s="35" t="str">
        <x:v>P01套件内；不另计采购金额。</x:v>
      </x:c>
      <x:c r="J26" s="35" t="str">
        <x:v>P01套件内；不另计采购金额。</x:v>
      </x:c>
      <x:c r="K26" s="35" t="str">
        <x:v>P01套件内；不另计采购金额。</x:v>
      </x:c>
    </x:row>
    <x:row r="27" ht="26.2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</x:row>
    <x:row r="28" ht="39" customHeight="1">
      <x:c r="A28" s="37" t="str">
        <x:v>外部前提：现有电脑与网络设施；临时安装用显示器/键鼠。若需另购转接件或新增网线，应补入预算。</x:v>
      </x:c>
      <x:c r="B28" s="37" t="str">
        <x:v>外部前提：现有电脑与网络设施；临时安装用显示器/键鼠。若需另购转接件或新增网线，应补入预算。</x:v>
      </x:c>
      <x:c r="C28" s="37" t="str">
        <x:v>外部前提：现有电脑与网络设施；临时安装用显示器/键鼠。若需另购转接件或新增网线，应补入预算。</x:v>
      </x:c>
      <x:c r="D28" s="37" t="str">
        <x:v>外部前提：现有电脑与网络设施；临时安装用显示器/键鼠。若需另购转接件或新增网线，应补入预算。</x:v>
      </x:c>
      <x:c r="E28" s="37" t="str">
        <x:v>外部前提：现有电脑与网络设施；临时安装用显示器/键鼠。若需另购转接件或新增网线，应补入预算。</x:v>
      </x:c>
      <x:c r="F28" s="37" t="str">
        <x:v>外部前提：现有电脑与网络设施；临时安装用显示器/键鼠。若需另购转接件或新增网线，应补入预算。</x:v>
      </x:c>
      <x:c r="G28" s="37" t="str">
        <x:v>外部前提：现有电脑与网络设施；临时安装用显示器/键鼠。若需另购转接件或新增网线，应补入预算。</x:v>
      </x:c>
      <x:c r="H28" s="37" t="str">
        <x:v>外部前提：现有电脑与网络设施；临时安装用显示器/键鼠。若需另购转接件或新增网线，应补入预算。</x:v>
      </x:c>
      <x:c r="I28" s="37" t="str">
        <x:v>外部前提：现有电脑与网络设施；临时安装用显示器/键鼠。若需另购转接件或新增网线，应补入预算。</x:v>
      </x:c>
      <x:c r="J28" s="37" t="str">
        <x:v>外部前提：现有电脑与网络设施；临时安装用显示器/键鼠。若需另购转接件或新增网线，应补入预算。</x:v>
      </x:c>
      <x:c r="K28" s="37" t="str">
        <x:v>外部前提：现有电脑与网络设施；临时安装用显示器/键鼠。若需另购转接件或新增网线，应补入预算。</x:v>
      </x:c>
    </x:row>
    <x:row r="29" ht="30" customHeight="1">
      <x:c r="A29" s="34" t="str">
        <x:v>电脑仅负责网页和麦克风采音。Jetson独立运行ASR、LLM及后端；没有新实机结果。</x:v>
      </x:c>
      <x:c r="B29" s="34" t="str">
        <x:v>电脑仅负责网页和麦克风采音。Jetson独立运行ASR、LLM及后端；没有新实机结果。</x:v>
      </x:c>
      <x:c r="C29" s="34" t="str">
        <x:v>电脑仅负责网页和麦克风采音。Jetson独立运行ASR、LLM及后端；没有新实机结果。</x:v>
      </x:c>
      <x:c r="D29" s="34" t="str">
        <x:v>电脑仅负责网页和麦克风采音。Jetson独立运行ASR、LLM及后端；没有新实机结果。</x:v>
      </x:c>
      <x:c r="E29" s="34" t="str">
        <x:v>电脑仅负责网页和麦克风采音。Jetson独立运行ASR、LLM及后端；没有新实机结果。</x:v>
      </x:c>
      <x:c r="F29" s="34" t="str">
        <x:v>电脑仅负责网页和麦克风采音。Jetson独立运行ASR、LLM及后端；没有新实机结果。</x:v>
      </x:c>
      <x:c r="G29" s="34" t="str">
        <x:v>电脑仅负责网页和麦克风采音。Jetson独立运行ASR、LLM及后端；没有新实机结果。</x:v>
      </x:c>
      <x:c r="H29" s="34" t="str">
        <x:v>电脑仅负责网页和麦克风采音。Jetson独立运行ASR、LLM及后端；没有新实机结果。</x:v>
      </x:c>
      <x:c r="I29" s="34" t="str">
        <x:v>电脑仅负责网页和麦克风采音。Jetson独立运行ASR、LLM及后端；没有新实机结果。</x:v>
      </x:c>
      <x:c r="J29" s="34" t="str">
        <x:v>电脑仅负责网页和麦克风采音。Jetson独立运行ASR、LLM及后端；没有新实机结果。</x:v>
      </x:c>
      <x:c r="K29" s="34" t="str">
        <x:v>电脑仅负责网页和麦克风采音。Jetson独立运行ASR、LLM及后端；没有新实机结果。</x:v>
      </x:c>
    </x:row>
    <x:row r="30" ht="26.2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 ht="37.5" customHeight="1">
      <x:c r="A31" s="7" t="str">
        <x:v>S01 NVIDIA中国：Orin Nano Super产品规格与官方参考价
https://www.nvidia.cn/autonomous-machines/embedded-systems/jetson-orin/nano-super-developer-kit/</x:v>
      </x:c>
      <x:c r="B31" s="7" t="str">
        <x:v>S01 NVIDIA中国：Orin Nano Super产品规格与官方参考价
https://www.nvidia.cn/autonomous-machines/embedded-systems/jetson-orin/nano-super-developer-kit/</x:v>
      </x:c>
      <x:c r="C31" s="7" t="str">
        <x:v>S01 NVIDIA中国：Orin Nano Super产品规格与官方参考价
https://www.nvidia.cn/autonomous-machines/embedded-systems/jetson-orin/nano-super-developer-kit/</x:v>
      </x:c>
      <x:c r="D31" s="7" t="str">
        <x:v>S01 NVIDIA中国：Orin Nano Super产品规格与官方参考价
https://www.nvidia.cn/autonomous-machines/embedded-systems/jetson-orin/nano-super-developer-kit/</x:v>
      </x:c>
      <x:c r="E31" s="7" t="str">
        <x:v>S01 NVIDIA中国：Orin Nano Super产品规格与官方参考价
https://www.nvidia.cn/autonomous-machines/embedded-systems/jetson-orin/nano-super-developer-kit/</x:v>
      </x:c>
      <x:c r="F31" s="7" t="str">
        <x:v>S01 NVIDIA中国：Orin Nano Super产品规格与官方参考价
https://www.nvidia.cn/autonomous-machines/embedded-systems/jetson-orin/nano-super-developer-kit/</x:v>
      </x:c>
      <x:c r="G31" s="7" t="str">
        <x:v>S01 NVIDIA中国：Orin Nano Super产品规格与官方参考价
https://www.nvidia.cn/autonomous-machines/embedded-systems/jetson-orin/nano-super-developer-kit/</x:v>
      </x:c>
      <x:c r="H31" s="7" t="str">
        <x:v>S01 NVIDIA中国：Orin Nano Super产品规格与官方参考价
https://www.nvidia.cn/autonomous-machines/embedded-systems/jetson-orin/nano-super-developer-kit/</x:v>
      </x:c>
      <x:c r="I31" s="7" t="str">
        <x:v>S01 NVIDIA中国：Orin Nano Super产品规格与官方参考价
https://www.nvidia.cn/autonomous-machines/embedded-systems/jetson-orin/nano-super-developer-kit/</x:v>
      </x:c>
      <x:c r="J31" s="7" t="str">
        <x:v>S01 NVIDIA中国：Orin Nano Super产品规格与官方参考价
https://www.nvidia.cn/autonomous-machines/embedded-systems/jetson-orin/nano-super-developer-kit/</x:v>
      </x:c>
      <x:c r="K31" s="7" t="str">
        <x:v>S01 NVIDIA中国：Orin Nano Super产品规格与官方参考价
https://www.nvidia.cn/autonomous-machines/embedded-systems/jetson-orin/nano-super-developer-kit/</x:v>
      </x:c>
    </x:row>
    <x:row r="32" ht="37.5" customHeight="1">
      <x:c r="A32" s="7" t="str">
        <x:v>S02 NVIDIA Quick Start：包装内容和安装流程
https://docs.nvidia.com/jetson/orin-nano-devkit/user-guide/latest/quick_start.html</x:v>
      </x:c>
      <x:c r="B32" s="7" t="str">
        <x:v>S02 NVIDIA Quick Start：包装内容和安装流程
https://docs.nvidia.com/jetson/orin-nano-devkit/user-guide/latest/quick_start.html</x:v>
      </x:c>
      <x:c r="C32" s="7" t="str">
        <x:v>S02 NVIDIA Quick Start：包装内容和安装流程
https://docs.nvidia.com/jetson/orin-nano-devkit/user-guide/latest/quick_start.html</x:v>
      </x:c>
      <x:c r="D32" s="7" t="str">
        <x:v>S02 NVIDIA Quick Start：包装内容和安装流程
https://docs.nvidia.com/jetson/orin-nano-devkit/user-guide/latest/quick_start.html</x:v>
      </x:c>
      <x:c r="E32" s="7" t="str">
        <x:v>S02 NVIDIA Quick Start：包装内容和安装流程
https://docs.nvidia.com/jetson/orin-nano-devkit/user-guide/latest/quick_start.html</x:v>
      </x:c>
      <x:c r="F32" s="7" t="str">
        <x:v>S02 NVIDIA Quick Start：包装内容和安装流程
https://docs.nvidia.com/jetson/orin-nano-devkit/user-guide/latest/quick_start.html</x:v>
      </x:c>
      <x:c r="G32" s="7" t="str">
        <x:v>S02 NVIDIA Quick Start：包装内容和安装流程
https://docs.nvidia.com/jetson/orin-nano-devkit/user-guide/latest/quick_start.html</x:v>
      </x:c>
      <x:c r="H32" s="7" t="str">
        <x:v>S02 NVIDIA Quick Start：包装内容和安装流程
https://docs.nvidia.com/jetson/orin-nano-devkit/user-guide/latest/quick_start.html</x:v>
      </x:c>
      <x:c r="I32" s="7" t="str">
        <x:v>S02 NVIDIA Quick Start：包装内容和安装流程
https://docs.nvidia.com/jetson/orin-nano-devkit/user-guide/latest/quick_start.html</x:v>
      </x:c>
      <x:c r="J32" s="7" t="str">
        <x:v>S02 NVIDIA Quick Start：包装内容和安装流程
https://docs.nvidia.com/jetson/orin-nano-devkit/user-guide/latest/quick_start.html</x:v>
      </x:c>
      <x:c r="K32" s="7" t="str">
        <x:v>S02 NVIDIA Quick Start：包装内容和安装流程
https://docs.nvidia.com/jetson/orin-nano-devkit/user-guide/latest/quick_start.html</x:v>
      </x:c>
    </x:row>
    <x:row r="33" ht="37.5" customHeight="1">
      <x:c r="A33" s="7" t="str">
        <x:v>S03 NVIDIA Hardware Layout：载板与接口
https://docs.nvidia.com/jetson/orin-nano-devkit/user-guide/latest/hardware_layout.html</x:v>
      </x:c>
      <x:c r="B33" s="7" t="str">
        <x:v>S03 NVIDIA Hardware Layout：载板与接口
https://docs.nvidia.com/jetson/orin-nano-devkit/user-guide/latest/hardware_layout.html</x:v>
      </x:c>
      <x:c r="C33" s="7" t="str">
        <x:v>S03 NVIDIA Hardware Layout：载板与接口
https://docs.nvidia.com/jetson/orin-nano-devkit/user-guide/latest/hardware_layout.html</x:v>
      </x:c>
      <x:c r="D33" s="7" t="str">
        <x:v>S03 NVIDIA Hardware Layout：载板与接口
https://docs.nvidia.com/jetson/orin-nano-devkit/user-guide/latest/hardware_layout.html</x:v>
      </x:c>
      <x:c r="E33" s="7" t="str">
        <x:v>S03 NVIDIA Hardware Layout：载板与接口
https://docs.nvidia.com/jetson/orin-nano-devkit/user-guide/latest/hardware_layout.html</x:v>
      </x:c>
      <x:c r="F33" s="7" t="str">
        <x:v>S03 NVIDIA Hardware Layout：载板与接口
https://docs.nvidia.com/jetson/orin-nano-devkit/user-guide/latest/hardware_layout.html</x:v>
      </x:c>
      <x:c r="G33" s="7" t="str">
        <x:v>S03 NVIDIA Hardware Layout：载板与接口
https://docs.nvidia.com/jetson/orin-nano-devkit/user-guide/latest/hardware_layout.html</x:v>
      </x:c>
      <x:c r="H33" s="7" t="str">
        <x:v>S03 NVIDIA Hardware Layout：载板与接口
https://docs.nvidia.com/jetson/orin-nano-devkit/user-guide/latest/hardware_layout.html</x:v>
      </x:c>
      <x:c r="I33" s="7" t="str">
        <x:v>S03 NVIDIA Hardware Layout：载板与接口
https://docs.nvidia.com/jetson/orin-nano-devkit/user-guide/latest/hardware_layout.html</x:v>
      </x:c>
      <x:c r="J33" s="7" t="str">
        <x:v>S03 NVIDIA Hardware Layout：载板与接口
https://docs.nvidia.com/jetson/orin-nano-devkit/user-guide/latest/hardware_layout.html</x:v>
      </x:c>
      <x:c r="K33" s="7" t="str">
        <x:v>S03 NVIDIA Hardware Layout：载板与接口
https://docs.nvidia.com/jetson/orin-nano-devkit/user-guide/latest/hardware_layout.html</x:v>
      </x:c>
    </x:row>
    <x:row r="34" ht="26.2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 ht="30" customHeight="1">
      <x:c r="A35" s="7" t="str">
        <x:v>原2699元办公主机文件保留为历史，旧任务DONE不适用于本候选。详细逐项论证见“零件选型依据”。</x:v>
      </x:c>
      <x:c r="B35" s="7" t="str">
        <x:v>原2699元办公主机文件保留为历史，旧任务DONE不适用于本候选。详细逐项论证见“零件选型依据”。</x:v>
      </x:c>
      <x:c r="C35" s="7" t="str">
        <x:v>原2699元办公主机文件保留为历史，旧任务DONE不适用于本候选。详细逐项论证见“零件选型依据”。</x:v>
      </x:c>
      <x:c r="D35" s="7" t="str">
        <x:v>原2699元办公主机文件保留为历史，旧任务DONE不适用于本候选。详细逐项论证见“零件选型依据”。</x:v>
      </x:c>
      <x:c r="E35" s="7" t="str">
        <x:v>原2699元办公主机文件保留为历史，旧任务DONE不适用于本候选。详细逐项论证见“零件选型依据”。</x:v>
      </x:c>
      <x:c r="F35" s="7" t="str">
        <x:v>原2699元办公主机文件保留为历史，旧任务DONE不适用于本候选。详细逐项论证见“零件选型依据”。</x:v>
      </x:c>
      <x:c r="G35" s="7" t="str">
        <x:v>原2699元办公主机文件保留为历史，旧任务DONE不适用于本候选。详细逐项论证见“零件选型依据”。</x:v>
      </x:c>
      <x:c r="H35" s="7" t="str">
        <x:v>原2699元办公主机文件保留为历史，旧任务DONE不适用于本候选。详细逐项论证见“零件选型依据”。</x:v>
      </x:c>
      <x:c r="I35" s="7" t="str">
        <x:v>原2699元办公主机文件保留为历史，旧任务DONE不适用于本候选。详细逐项论证见“零件选型依据”。</x:v>
      </x:c>
      <x:c r="J35" s="7" t="str">
        <x:v>原2699元办公主机文件保留为历史，旧任务DONE不适用于本候选。详细逐项论证见“零件选型依据”。</x:v>
      </x:c>
      <x:c r="K35" s="7" t="str">
        <x:v>原2699元办公主机文件保留为历史，旧任务DONE不适用于本候选。详细逐项论证见“零件选型依据”。</x:v>
      </x:c>
    </x:row>
    <x:row r="36" ht="26.2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</x:sheetData>
  <x:mergeCells>
    <x:mergeCell ref="A2:K2"/>
    <x:mergeCell ref="A3:K3"/>
    <x:mergeCell ref="A4:K4"/>
    <x:mergeCell ref="A6:C6"/>
    <x:mergeCell ref="D6:E6"/>
    <x:mergeCell ref="F6:K6"/>
    <x:mergeCell ref="A7:C7"/>
    <x:mergeCell ref="D7:E7"/>
    <x:mergeCell ref="F7:K7"/>
    <x:mergeCell ref="A8:C8"/>
    <x:mergeCell ref="D8:E8"/>
    <x:mergeCell ref="F8:K8"/>
    <x:mergeCell ref="A9:C9"/>
    <x:mergeCell ref="D9:E9"/>
    <x:mergeCell ref="F9:K9"/>
    <x:mergeCell ref="A10:C10"/>
    <x:mergeCell ref="D10:E10"/>
    <x:mergeCell ref="F10:K10"/>
    <x:mergeCell ref="A11:C11"/>
    <x:mergeCell ref="D11:E11"/>
    <x:mergeCell ref="F11:K11"/>
    <x:mergeCell ref="A21:K21"/>
    <x:mergeCell ref="A22:B22"/>
    <x:mergeCell ref="C22:G22"/>
    <x:mergeCell ref="H22:K22"/>
    <x:mergeCell ref="A23:B23"/>
    <x:mergeCell ref="C23:G23"/>
    <x:mergeCell ref="H23:K23"/>
    <x:mergeCell ref="A24:B24"/>
    <x:mergeCell ref="C24:G24"/>
    <x:mergeCell ref="H24:K24"/>
    <x:mergeCell ref="A25:B25"/>
    <x:mergeCell ref="C25:G25"/>
    <x:mergeCell ref="H25:K25"/>
    <x:mergeCell ref="A26:B26"/>
    <x:mergeCell ref="C26:G26"/>
    <x:mergeCell ref="H26:K26"/>
    <x:mergeCell ref="A28:K28"/>
    <x:mergeCell ref="A29:K29"/>
    <x:mergeCell ref="A31:K31"/>
    <x:mergeCell ref="A32:K32"/>
    <x:mergeCell ref="A33:K33"/>
    <x:mergeCell ref="A35:K35"/>
  </x:mergeCells>
  <x:conditionalFormatting sqref="D10:E10">
    <x:cfRule type="cellIs" dxfId="0" priority="1" operator="lessThan">
      <x:formula>0</x:formula>
    </x:cfRule>
  </x:conditionalFormatting>
  <x:dataValidations count="2">
    <x:dataValidation type="whole" operator="between" sqref="C14:C19">
      <x:formula1>1</x:formula1>
      <x:formula2>99</x:formula2>
    </x:dataValidation>
    <x:dataValidation type="decimal" operator="greaterThan" sqref="F14:F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a7d6397482448d"/>
  </x:tableParts>
</x:worksheet>
</file>

<file path=xl/worksheets/sheet2.xml><?xml version="1.0" encoding="utf-8"?>
<x:worksheet xmlns:x="http://schemas.openxmlformats.org/spreadsheetml/2006/main">
  <x:sheetPr>
    <x:tabColor rgb="FF1433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.75" hidden="0" customWidth="1"/>
    <x:col min="2" max="2" width="23.1299991607666" hidden="0" customWidth="1"/>
    <x:col min="3" max="3" width="30.6299991607666" hidden="0" customWidth="1"/>
    <x:col min="4" max="4" width="32.5" hidden="0" customWidth="1"/>
    <x:col min="5" max="5" width="33.130001068115234" hidden="0" customWidth="1"/>
    <x:col min="6" max="6" width="37.5" hidden="0" customWidth="1"/>
  </x:cols>
  <x:sheetData>
    <x:row r="1" ht="12" customHeight="1">
      <x:c r="A1" s="4"/>
      <x:c r="B1" s="4"/>
      <x:c r="C1" s="4"/>
      <x:c r="D1" s="4"/>
      <x:c r="E1" s="4"/>
      <x:c r="F1" s="4"/>
    </x:row>
    <x:row r="2" ht="36" customHeight="1">
      <x:c r="A2" s="6" t="str">
        <x:v>1.1 零件选型依据</x:v>
      </x:c>
      <x:c r="B2" s="6" t="str">
        <x:v>1.1 零件选型依据</x:v>
      </x:c>
      <x:c r="C2" s="6" t="str">
        <x:v>1.1 零件选型依据</x:v>
      </x:c>
      <x:c r="D2" s="6" t="str">
        <x:v>1.1 零件选型依据</x:v>
      </x:c>
      <x:c r="E2" s="6" t="str">
        <x:v>1.1 零件选型依据</x:v>
      </x:c>
      <x:c r="F2" s="6" t="str">
        <x:v>1.1 零件选型依据</x:v>
      </x:c>
    </x:row>
    <x:row r="3" ht="25.5" customHeight="1">
      <x:c r="A3" s="7" t="str">
        <x:v>10项组件说明　套件内组件不重复采购　详细来源见同行编号及1.1边缘端修订说明</x:v>
      </x:c>
      <x:c r="B3" s="7" t="str">
        <x:v>10项组件说明　套件内组件不重复采购　详细来源见同行编号及1.1边缘端修订说明</x:v>
      </x:c>
      <x:c r="C3" s="7" t="str">
        <x:v>10项组件说明　套件内组件不重复采购　详细来源见同行编号及1.1边缘端修订说明</x:v>
      </x:c>
      <x:c r="D3" s="7" t="str">
        <x:v>10项组件说明　套件内组件不重复采购　详细来源见同行编号及1.1边缘端修订说明</x:v>
      </x:c>
      <x:c r="E3" s="7" t="str">
        <x:v>10项组件说明　套件内组件不重复采购　详细来源见同行编号及1.1边缘端修订说明</x:v>
      </x:c>
      <x:c r="F3" s="7" t="str">
        <x:v>10项组件说明　套件内组件不重复采购　详细来源见同行编号及1.1边缘端修订说明</x:v>
      </x:c>
    </x:row>
    <x:row r="4" ht="40.5" customHeight="1">
      <x:c r="A4" s="9" t="str">
        <x:v>每项均回答：承担什么功能、为什么选、替代方案及取舍、兼容要求、如何验证。</x:v>
      </x:c>
      <x:c r="B4" s="9" t="str">
        <x:v>每项均回答：承担什么功能、为什么选、替代方案及取舍、兼容要求、如何验证。</x:v>
      </x:c>
      <x:c r="C4" s="9" t="str">
        <x:v>每项均回答：承担什么功能、为什么选、替代方案及取舍、兼容要求、如何验证。</x:v>
      </x:c>
      <x:c r="D4" s="9" t="str">
        <x:v>每项均回答：承担什么功能、为什么选、替代方案及取舍、兼容要求、如何验证。</x:v>
      </x:c>
      <x:c r="E4" s="9" t="str">
        <x:v>每项均回答：承担什么功能、为什么选、替代方案及取舍、兼容要求、如何验证。</x:v>
      </x:c>
      <x:c r="F4" s="9" t="str">
        <x:v>每项均回答：承担什么功能、为什么选、替代方案及取舍、兼容要求、如何验证。</x:v>
      </x:c>
    </x:row>
    <x:row r="5" ht="26.25" customHeight="1">
      <x:c r="A5" s="4"/>
      <x:c r="B5" s="4"/>
      <x:c r="C5" s="4"/>
      <x:c r="D5" s="4"/>
      <x:c r="E5" s="4"/>
      <x:c r="F5" s="4"/>
    </x:row>
    <x:row r="6" ht="34.5" customHeight="1">
      <x:c r="A6" s="19" t="str">
        <x:v>组件 / 计价 / 依据</x:v>
      </x:c>
      <x:c r="B6" s="19" t="str">
        <x:v>承担什么功能</x:v>
      </x:c>
      <x:c r="C6" s="19" t="str">
        <x:v>为什么选择</x:v>
      </x:c>
      <x:c r="D6" s="19" t="str">
        <x:v>替代方案及取舍</x:v>
      </x:c>
      <x:c r="E6" s="19" t="str">
        <x:v>兼容要求</x:v>
      </x:c>
      <x:c r="F6" s="19" t="str">
        <x:v>如何验证</x:v>
      </x:c>
    </x:row>
    <x:row r="7" ht="107.25" customHeight="1">
      <x:c r="A7" s="21" t="str">
        <x:v>C01 计算模组
P01套件内
S01</x:v>
      </x:c>
      <x:c r="B7" s="21" t="str">
        <x:v>在边缘盒独立承担ASR、LLM与后端。</x:v>
      </x:c>
      <x:c r="C7" s="21" t="str">
        <x:v>选择Jetson软硬件生态，适合验证GPU本地推理。</x:v>
      </x:c>
      <x:c r="D7" s="21" t="str">
        <x:v>CPU小板可减少CUDA依赖，但需重做性能对照；更大内存Jetson成本更高。</x:v>
      </x:c>
      <x:c r="E7" s="21" t="str">
        <x:v>核对准确模组与固件；CPU/GPU不是独立采购散件。</x:v>
      </x:c>
      <x:c r="F7" s="21" t="str">
        <x:v>真实音频ASR和真实LLM分别运行，记录正确性、耗时和负载。</x:v>
      </x:c>
    </x:row>
    <x:row r="8" ht="107.25" customHeight="1">
      <x:c r="A8" s="22" t="str">
        <x:v>C02 官方载板
P01套件内
S03</x:v>
      </x:c>
      <x:c r="B8" s="22" t="str">
        <x:v>连接供电、USB、以太网与NVMe。</x:v>
      </x:c>
      <x:c r="C8" s="22" t="str">
        <x:v>复用经过配套设计的接口，避免本轮自制载板。</x:v>
      </x:c>
      <x:c r="D8" s="22" t="str">
        <x:v>第三方载板可缩小体积，但引入引脚、固件和外壳差异。</x:v>
      </x:c>
      <x:c r="E8" s="22" t="str">
        <x:v>M.2 2280 Key-M、网口、USB和供电版本均核对。</x:v>
      </x:c>
      <x:c r="F8" s="22" t="str">
        <x:v>识别SSD与网口，记录板卡版本并检查每个实际使用接口。</x:v>
      </x:c>
    </x:row>
    <x:row r="9" ht="107.25" customHeight="1">
      <x:c r="A9" s="21" t="str">
        <x:v>C03 板载共享内存
P01计算模组内
S01 / S06；工程容量分析</x:v>
      </x:c>
      <x:c r="B9" s="21" t="str">
        <x:v>容纳系统、模型权重、激活、KV缓存和运行服务。</x:v>
      </x:c>
      <x:c r="C9" s="21" t="str">
        <x:v>采用套件既定容量，先做最小内存验证；不是另加8GB显存。</x:v>
      </x:c>
      <x:c r="D9" s="21" t="str">
        <x:v>更大内存平台留量更大但增加预算；SSD交换区不等同物理内存。</x:v>
      </x:c>
      <x:c r="E9" s="21" t="str">
        <x:v>不可作为普通DIMM另购；模型文件大小不等于运行峰值。</x:v>
      </x:c>
      <x:c r="F9" s="21" t="str">
        <x:v>记录系统总内存及可用量、进程RSS、阶段切换、OOM和交换活动。</x:v>
      </x:c>
    </x:row>
    <x:row r="10" ht="107.25" customHeight="1">
      <x:c r="A10" s="22" t="str">
        <x:v>C04 NVMe SSD
P02独立采购
S03；项目容量要求</x:v>
      </x:c>
      <x:c r="B10" s="22" t="str">
        <x:v>保存系统、镜像、模型、问诊音频、SQLite与导出文件。</x:v>
      </x:c>
      <x:c r="C10" s="22" t="str">
        <x:v>以一块运行盘集中管理持久化，目标部署后至少100GB余量。</x:v>
      </x:c>
      <x:c r="D10" s="22" t="str">
        <x:v>microSD成本可能更低但需比较写入可靠性；更大SSD增加成本。</x:v>
      </x:c>
      <x:c r="E10" s="22" t="str">
        <x:v>不选M.2 SATA；确认固定螺丝、厚度、温度、NVMe识别。</x:v>
      </x:c>
      <x:c r="F10" s="22" t="str">
        <x:v>核对真实容量，安装后检查可用空间与写入/重启持久化。</x:v>
      </x:c>
    </x:row>
    <x:row r="11" ht="107.25" customHeight="1">
      <x:c r="A11" s="21" t="str">
        <x:v>C05 19V电源适配器
P01套件内
S02 / S03</x:v>
      </x:c>
      <x:c r="B11" s="21" t="str">
        <x:v>为计算模组、载板与外设稳定供电。</x:v>
      </x:c>
      <x:c r="C11" s="21" t="str">
        <x:v>使用与官方接口匹配的套件电源，减少供电不稳定因素。</x:v>
      </x:c>
      <x:c r="D11" s="21" t="str">
        <x:v>第三方适配器需额外核对极性、插头及额定能力，无缺件时不另购。</x:v>
      </x:c>
      <x:c r="E11" s="21" t="str">
        <x:v>核对19V及载板电源插口；普通USB手机充电器不适用。</x:v>
      </x:c>
      <x:c r="F11" s="21" t="str">
        <x:v>记录铭牌，连续推理期间检查掉电、重启和接头发热。</x:v>
      </x:c>
    </x:row>
    <x:row r="12" ht="107.25" customHeight="1">
      <x:c r="A12" s="22" t="str">
        <x:v>C06 散热器与风扇
P01套件内
套件组成按到货清单核对；工程热设计要求</x:v>
      </x:c>
      <x:c r="B12" s="22" t="str">
        <x:v>排出持续CPU/GPU推理产生的热量。</x:v>
      </x:c>
      <x:c r="C12" s="22" t="str">
        <x:v>先使用配套方案，避免无依据改为被动散热。</x:v>
      </x:c>
      <x:c r="D12" s="22" t="str">
        <x:v>被动外壳更安静但散热能力需重验；大型风扇改变外壳适配。</x:v>
      </x:c>
      <x:c r="E12" s="22" t="str">
        <x:v>外壳不能遮挡进出风；核对风扇接口、固定件及线缆。</x:v>
      </x:c>
      <x:c r="F12" s="22" t="str">
        <x:v>记录环境温度、芯片温度、频率、功耗模式与是否降频。</x:v>
      </x:c>
    </x:row>
    <x:row r="13" ht="107.25" customHeight="1">
      <x:c r="A13" s="21" t="str">
        <x:v>C07 保护外壳及安装件
P03独立采购
工程装配要求</x:v>
      </x:c>
      <x:c r="B13" s="21" t="str">
        <x:v>保护板卡、固定SSD和线缆，便于展示搬运。</x:v>
      </x:c>
      <x:c r="C13" s="21" t="str">
        <x:v>降低裸板接触和拉扯风险，同时保留原装散热空间。</x:v>
      </x:c>
      <x:c r="D13" s="21" t="str">
        <x:v>裸板支架便宜但保护较少；定制外壳增加制造和适配工作。</x:v>
      </x:c>
      <x:c r="E13" s="21" t="str">
        <x:v>必须明确兼容官方载板，不只写兼容Orin Nano模组。</x:v>
      </x:c>
      <x:c r="F13" s="21" t="str">
        <x:v>逐一试装孔位、接口、SSD与风道，检查绝缘和稳固性。</x:v>
      </x:c>
    </x:row>
    <x:row r="14" ht="107.25" customHeight="1">
      <x:c r="A14" s="22" t="str">
        <x:v>C08 USB会议麦克风
P04独立采购
S04；项目采音要求</x:v>
      </x:c>
      <x:c r="B14" s="22" t="str">
        <x:v>在浏览器端采集医生和患者的真实声音。</x:v>
      </x:c>
      <x:c r="C14" s="22" t="str">
        <x:v>选择通用USB音频设备，避免增加模拟前端或单片机采音链路。</x:v>
      </x:c>
      <x:c r="D14" s="22" t="str">
        <x:v>电脑内置麦克风可作对照，但不能假定满足双人拾音质量。</x:v>
      </x:c>
      <x:c r="E14" s="22" t="str">
        <x:v>核对电脑系统、Chrome/Edge、权限及安全上下文；线缆不重复购买。</x:v>
      </x:c>
      <x:c r="F14" s="22" t="str">
        <x:v>固定距离录制双方对话，检查识别、噪声、削波和ASR输入可读性。</x:v>
      </x:c>
    </x:row>
    <x:row r="15" ht="107.25" customHeight="1">
      <x:c r="A15" s="21" t="str">
        <x:v>C09 网线与必要连接件
P05独立采购
S03 / S04</x:v>
      </x:c>
      <x:c r="B15" s="21" t="str">
        <x:v>将Jetson接入既有局域网。</x:v>
      </x:c>
      <x:c r="C15" s="21" t="str">
        <x:v>有线连接便于复现传输与中断问题。</x:v>
      </x:c>
      <x:c r="D15" s="21" t="str">
        <x:v>Wi-Fi减少布线，但增加信号和接入变量；本轮不另购无线模块。</x:v>
      </x:c>
      <x:c r="E15" s="21" t="str">
        <x:v>电脑已有联网条件需核实；套件或已有线材不能重复计价。</x:v>
      </x:c>
      <x:c r="F15" s="21" t="str">
        <x:v>电脑访问Jetson，测试上传、结果返回、HTTPS录音及断网不依赖云推理。</x:v>
      </x:c>
    </x:row>
    <x:row r="16" ht="107.25" customHeight="1">
      <x:c r="A16" s="22" t="str">
        <x:v>C10 系统安装介质
P06部署工具
S02</x:v>
      </x:c>
      <x:c r="B16" s="22" t="str">
        <x:v>承载系统安装程序，安装完成后运行数据留在SSD。</x:v>
      </x:c>
      <x:c r="C16" s="22" t="str">
        <x:v>与运行盘分工明确，便于重新部署。</x:v>
      </x:c>
      <x:c r="D16" s="22" t="str">
        <x:v>复用现有合格U盘可降低新增费用，需先核实并记录；不默认再买microSD。</x:v>
      </x:c>
      <x:c r="E16" s="22" t="str">
        <x:v>核对官方安装版本、固件前提和实际镜像尺寸；显示器或串口方案另核对。</x:v>
      </x:c>
      <x:c r="F16" s="22" t="str">
        <x:v>检查介质可写可读及安装文档匹配；本轮不执行写盘或刷机。</x:v>
      </x:c>
    </x:row>
    <x:row r="17" ht="26.25" customHeight="1">
      <x:c r="A17" s="4"/>
      <x:c r="B17" s="4"/>
      <x:c r="C17" s="4"/>
      <x:c r="D17" s="4"/>
      <x:c r="E17" s="4"/>
      <x:c r="F17" s="4"/>
    </x:row>
    <x:row r="18" ht="33.75" customHeight="1">
      <x:c r="A18" s="33" t="str">
        <x:v>计算模组采用套件8GB共享内存；CPU、GPU和内存不是三项可单独采购的散件。</x:v>
      </x:c>
      <x:c r="B18" s="33" t="str">
        <x:v>计算模组采用套件8GB共享内存；CPU、GPU和内存不是三项可单独采购的散件。</x:v>
      </x:c>
      <x:c r="C18" s="33" t="str">
        <x:v>计算模组采用套件8GB共享内存；CPU、GPU和内存不是三项可单独采购的散件。</x:v>
      </x:c>
      <x:c r="D18" s="33" t="str">
        <x:v>计算模组采用套件8GB共享内存；CPU、GPU和内存不是三项可单独采购的散件。</x:v>
      </x:c>
      <x:c r="E18" s="33" t="str">
        <x:v>计算模组采用套件8GB共享内存；CPU、GPU和内存不是三项可单独采购的散件。</x:v>
      </x:c>
      <x:c r="F18" s="33" t="str">
        <x:v>计算模组采用套件8GB共享内存；CPU、GPU和内存不是三项可单独采购的散件。</x:v>
      </x:c>
    </x:row>
    <x:row r="19" ht="33.75" customHeight="1">
      <x:c r="A19" s="37" t="str">
        <x:v>外壳、SSD及麦克风的品牌/型号仍待核实。采购前按实际SKU补全价格与兼容证据。</x:v>
      </x:c>
      <x:c r="B19" s="37" t="str">
        <x:v>外壳、SSD及麦克风的品牌/型号仍待核实。采购前按实际SKU补全价格与兼容证据。</x:v>
      </x:c>
      <x:c r="C19" s="37" t="str">
        <x:v>外壳、SSD及麦克风的品牌/型号仍待核实。采购前按实际SKU补全价格与兼容证据。</x:v>
      </x:c>
      <x:c r="D19" s="37" t="str">
        <x:v>外壳、SSD及麦克风的品牌/型号仍待核实。采购前按实际SKU补全价格与兼容证据。</x:v>
      </x:c>
      <x:c r="E19" s="37" t="str">
        <x:v>外壳、SSD及麦克风的品牌/型号仍待核实。采购前按实际SKU补全价格与兼容证据。</x:v>
      </x:c>
      <x:c r="F19" s="37" t="str">
        <x:v>外壳、SSD及麦克风的品牌/型号仍待核实。采购前按实际SKU补全价格与兼容证据。</x:v>
      </x:c>
    </x:row>
    <x:row r="20" ht="26.25" customHeight="1">
      <x:c r="A20" s="4"/>
      <x:c r="B20" s="4"/>
      <x:c r="C20" s="4"/>
      <x:c r="D20" s="4"/>
      <x:c r="E20" s="4"/>
      <x:c r="F20" s="4"/>
    </x:row>
    <x:row r="21" ht="31.5" customHeight="1">
      <x:c r="A21" s="7" t="str">
        <x:v>S01官方产品与参考价；S02快速开始；S03载板接口；S04浏览器采音；S06共享内存。工程取舍为本次设计判断。</x:v>
      </x:c>
      <x:c r="B21" s="7" t="str">
        <x:v>S01官方产品与参考价；S02快速开始；S03载板接口；S04浏览器采音；S06共享内存。工程取舍为本次设计判断。</x:v>
      </x:c>
      <x:c r="C21" s="7" t="str">
        <x:v>S01官方产品与参考价；S02快速开始；S03载板接口；S04浏览器采音；S06共享内存。工程取舍为本次设计判断。</x:v>
      </x:c>
      <x:c r="D21" s="7" t="str">
        <x:v>S01官方产品与参考价；S02快速开始；S03载板接口；S04浏览器采音；S06共享内存。工程取舍为本次设计判断。</x:v>
      </x:c>
      <x:c r="E21" s="7" t="str">
        <x:v>S01官方产品与参考价；S02快速开始；S03载板接口；S04浏览器采音；S06共享内存。工程取舍为本次设计判断。</x:v>
      </x:c>
      <x:c r="F21" s="7" t="str">
        <x:v>S01官方产品与参考价；S02快速开始；S03载板接口；S04浏览器采音；S06共享内存。工程取舍为本次设计判断。</x:v>
      </x:c>
    </x:row>
    <x:row r="22" ht="26.25" customHeight="1">
      <x:c r="A22" s="4"/>
      <x:c r="B22" s="4"/>
      <x:c r="C22" s="4"/>
      <x:c r="D22" s="4"/>
      <x:c r="E22" s="4"/>
      <x:c r="F22" s="4"/>
    </x:row>
  </x:sheetData>
  <x:mergeCells>
    <x:mergeCell ref="A2:F2"/>
    <x:mergeCell ref="A3:F3"/>
    <x:mergeCell ref="A4:F4"/>
    <x:mergeCell ref="A18:F18"/>
    <x:mergeCell ref="A19:F19"/>
    <x:mergeCell ref="A21:F21"/>
  </x:mergeCells>
  <x:pageMargins left="0.7" right="0.7" top="0.75" bottom="0.75" header="0.3" footer="0.3"/>
  <x:tableParts count="1">
    <x:tablePart xmlns:r="http://schemas.openxmlformats.org/officeDocument/2006/relationships" r:id="Rd9556201c7d84bde"/>
  </x:tableParts>
</x:worksheet>
</file>

<file path=xl/worksheets/sheet3.xml><?xml version="1.0" encoding="utf-8"?>
<x:worksheet xmlns:x="http://schemas.openxmlformats.org/spreadsheetml/2006/main">
  <x:sheetPr>
    <x:tabColor rgb="FF1433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.3799991607666" hidden="0" customWidth="1"/>
    <x:col min="2" max="2" width="50.630001068115234" hidden="0" customWidth="1"/>
    <x:col min="3" max="3" width="29.3799991607666" hidden="0" customWidth="1"/>
    <x:col min="4" max="4" width="66.87999725341797" hidden="0" customWidth="1"/>
  </x:cols>
  <x:sheetData>
    <x:row r="1" ht="12" customHeight="1">
      <x:c r="A1" s="4"/>
      <x:c r="B1" s="4"/>
      <x:c r="C1" s="4"/>
      <x:c r="D1" s="4"/>
    </x:row>
    <x:row r="2" ht="36" customHeight="1">
      <x:c r="A2" s="6" t="str">
        <x:v>1.1 边缘端硬件与模型部署边界</x:v>
      </x:c>
      <x:c r="B2" s="6" t="str">
        <x:v>1.1 边缘端硬件与模型部署边界</x:v>
      </x:c>
      <x:c r="C2" s="6" t="str">
        <x:v>1.1 边缘端硬件与模型部署边界</x:v>
      </x:c>
      <x:c r="D2" s="6" t="str">
        <x:v>1.1 边缘端硬件与模型部署边界</x:v>
      </x:c>
    </x:row>
    <x:row r="3" ht="25.5" customHeight="1">
      <x:c r="A3" s="7" t="str">
        <x:v>计划任务1.1：2026-09-11　旧证据：2026-09-11　候选资料：2026-09-13　导出：2026-09-14</x:v>
      </x:c>
      <x:c r="B3" s="7" t="str">
        <x:v>计划任务1.1：2026-09-11　旧证据：2026-09-11　候选资料：2026-09-13　导出：2026-09-14</x:v>
      </x:c>
      <x:c r="C3" s="7" t="str">
        <x:v>计划任务1.1：2026-09-11　旧证据：2026-09-11　候选资料：2026-09-13　导出：2026-09-14</x:v>
      </x:c>
      <x:c r="D3" s="7" t="str">
        <x:v>计划任务1.1：2026-09-11　旧证据：2026-09-11　候选资料：2026-09-13　导出：2026-09-14</x:v>
      </x:c>
    </x:row>
    <x:row r="4" ht="40.5" customHeight="1">
      <x:c r="A4" s="9" t="str">
        <x:v>8GB为CPU/GPU共享内存。当前没有Jetson实测；不能继承旧16GB办公主机或开发机结论。</x:v>
      </x:c>
      <x:c r="B4" s="9" t="str">
        <x:v>8GB为CPU/GPU共享内存。当前没有Jetson实测；不能继承旧16GB办公主机或开发机结论。</x:v>
      </x:c>
      <x:c r="C4" s="9" t="str">
        <x:v>8GB为CPU/GPU共享内存。当前没有Jetson实测；不能继承旧16GB办公主机或开发机结论。</x:v>
      </x:c>
      <x:c r="D4" s="9" t="str">
        <x:v>8GB为CPU/GPU共享内存。当前没有Jetson实测；不能继承旧16GB办公主机或开发机结论。</x:v>
      </x:c>
    </x:row>
    <x:row r="5" ht="26.25" customHeight="1">
      <x:c r="A5" s="4"/>
      <x:c r="B5" s="4"/>
      <x:c r="C5" s="4"/>
      <x:c r="D5" s="4"/>
    </x:row>
    <x:row r="6" ht="34.5" customHeight="1">
      <x:c r="A6" s="19" t="str">
        <x:v>项目</x:v>
      </x:c>
      <x:c r="B6" s="19" t="str">
        <x:v>候选方案 / 依据</x:v>
      </x:c>
      <x:c r="C6" s="19" t="str">
        <x:v>事实状态</x:v>
      </x:c>
      <x:c r="D6" s="19" t="str">
        <x:v>边界与验证</x:v>
      </x:c>
    </x:row>
    <x:row r="7" ht="68.25" customHeight="1">
      <x:c r="A7" s="21" t="str">
        <x:v>目标环境</x:v>
      </x:c>
      <x:c r="B7" s="21" t="str">
        <x:v>MRA-ALPHA-EDGE-01（展示候选编号）</x:v>
      </x:c>
      <x:c r="C7" s="21" t="str">
        <x:v>未采购、未部署、未验收</x:v>
      </x:c>
      <x:c r="D7" s="21" t="str">
        <x:v>不覆盖历史MRA-ALPHA-ENV-01办公主机基线。</x:v>
      </x:c>
    </x:row>
    <x:row r="8" ht="68.25" customHeight="1">
      <x:c r="A8" s="22" t="str">
        <x:v>电脑端</x:v>
      </x:c>
      <x:c r="B8" s="22" t="str">
        <x:v>现有电脑负责网页、麦克风采音、审核操作</x:v>
      </x:c>
      <x:c r="C8" s="22" t="str">
        <x:v>外部前提</x:v>
      </x:c>
      <x:c r="D8" s="22" t="str">
        <x:v>不承担ASR或LLM推理；不按零元硬件混进采购BOM。</x:v>
      </x:c>
    </x:row>
    <x:row r="9" ht="68.25" customHeight="1">
      <x:c r="A9" s="21" t="str">
        <x:v>Jetson端</x:v>
      </x:c>
      <x:c r="B9" s="21" t="str">
        <x:v>运行ASR、真实LLM、FastAPI后端及持久化</x:v>
      </x:c>
      <x:c r="C9" s="21" t="str">
        <x:v>待实机验证</x:v>
      </x:c>
      <x:c r="D9" s="21" t="str">
        <x:v>8GB共享内存必须同时预留操作系统、服务与模型运行空间。</x:v>
      </x:c>
    </x:row>
    <x:row r="10" ht="68.25" customHeight="1">
      <x:c r="A10" s="22" t="str">
        <x:v>模型容量</x:v>
      </x:c>
      <x:c r="B10" s="22" t="str">
        <x:v>先尝试ASR与LLM串行加载，阶段切换释放内存</x:v>
      </x:c>
      <x:c r="C10" s="22" t="str">
        <x:v>规划假设</x:v>
      </x:c>
      <x:c r="D10" s="22" t="str">
        <x:v>关闭ASR进程或卸载模型的效果要记录；不能只做逻辑串行却让模型常驻。</x:v>
      </x:c>
    </x:row>
    <x:row r="11" ht="68.25" customHeight="1">
      <x:c r="A11" s="21" t="str">
        <x:v>ASR候选</x:v>
      </x:c>
      <x:c r="B11" s="21" t="str">
        <x:v>SenseVoiceSmall；FunASR作为现有复用路线</x:v>
      </x:c>
      <x:c r="C11" s="21" t="str">
        <x:v>不是Jetson实测</x:v>
      </x:c>
      <x:c r="D11" s="21" t="str">
        <x:v>核对模型版本、Arm依赖与运行后端；历史CPU峰值不能移植为Jetson指标。</x:v>
      </x:c>
    </x:row>
    <x:row r="12" ht="68.25" customHeight="1">
      <x:c r="A12" s="22" t="str">
        <x:v>LLM候选</x:v>
      </x:c>
      <x:c r="B12" s="22" t="str">
        <x:v>沿用qwen3:4b-instruct方向，量化与后端待冻结</x:v>
      </x:c>
      <x:c r="C12" s="22" t="str">
        <x:v>真实模型尚未运行</x:v>
      </x:c>
      <x:c r="D12" s="22" t="str">
        <x:v>小模型/量化可降低压力，但不得降低原有字段、角色、安全验收标准。</x:v>
      </x:c>
    </x:row>
    <x:row r="13" ht="68.25" customHeight="1">
      <x:c r="A13" s="21" t="str">
        <x:v>运行存储</x:v>
      </x:c>
      <x:c r="B13" s="21" t="str">
        <x:v>512GB NVMe；部署后至少100GB可用</x:v>
      </x:c>
      <x:c r="C13" s="21" t="str">
        <x:v>容量要求</x:v>
      </x:c>
      <x:c r="D13" s="21" t="str">
        <x:v>记录模型、容器、音频及数据库占用；磁盘余量不能证明RAM充足。</x:v>
      </x:c>
    </x:row>
    <x:row r="14" ht="68.25" customHeight="1">
      <x:c r="A14" s="22" t="str">
        <x:v>软件栈</x:v>
      </x:c>
      <x:c r="B14" s="22" t="str">
        <x:v>JetPack、CUDA、容器运行时与模型依赖组合待确认</x:v>
      </x:c>
      <x:c r="C14" s="22" t="str">
        <x:v>兼容性待验证</x:v>
      </x:c>
      <x:c r="D14" s="22" t="str">
        <x:v>当前官方快速开始为JetPack 7.2.1；不能据此认定项目依赖已适配。</x:v>
      </x:c>
    </x:row>
    <x:row r="15" ht="68.25" customHeight="1">
      <x:c r="A15" s="21" t="str">
        <x:v>历史Docker</x:v>
      </x:c>
      <x:c r="B15" s="21" t="str">
        <x:v>开发机CPU环境，LLM Mock</x:v>
      </x:c>
      <x:c r="C15" s="21" t="str">
        <x:v>历史证据不适用Jetson验收</x:v>
      </x:c>
      <x:c r="D15" s="21" t="str">
        <x:v>healthy、HTTP 200、ASR ready不证明ARM/CUDA镜像或真实LLM通过。</x:v>
      </x:c>
    </x:row>
    <x:row r="16" ht="68.25" customHeight="1">
      <x:c r="A16" s="22" t="str">
        <x:v>局域网录音</x:v>
      </x:c>
      <x:c r="B16" s="22" t="str">
        <x:v>电脑通过受信任HTTPS访问Jetson网页</x:v>
      </x:c>
      <x:c r="C16" s="22" t="str">
        <x:v>浏览器部署前提</x:v>
      </x:c>
      <x:c r="D16" s="22" t="str">
        <x:v>麦克风需要用户权限和安全上下文；普通局域网HTTP可能不可采音。</x:v>
      </x:c>
    </x:row>
    <x:row r="17" ht="68.25" customHeight="1">
      <x:c r="A17" s="21" t="str">
        <x:v>安装工具</x:v>
      </x:c>
      <x:c r="B17" s="21" t="str">
        <x:v>暂借兼容显示器及键鼠，安装后无屏运行</x:v>
      </x:c>
      <x:c r="C17" s="21" t="str">
        <x:v>ASSUMPTION A03，待核对</x:v>
      </x:c>
      <x:c r="D17" s="21" t="str">
        <x:v>如无DisplayPort接入，补列必要转接件或官方串口工具，并重新算预算。</x:v>
      </x:c>
    </x:row>
    <x:row r="18" ht="68.25" customHeight="1">
      <x:c r="A18" s="22" t="str">
        <x:v>最小验证</x:v>
      </x:c>
      <x:c r="B18" s="22" t="str">
        <x:v>真实短音频ASR，再释放内存并加载真实LLM生成草稿</x:v>
      </x:c>
      <x:c r="C18" s="22" t="str">
        <x:v>仅验证方案，本轮未执行</x:v>
      </x:c>
      <x:c r="D18" s="22" t="str">
        <x:v>记录模型/后端版本、RAM、耗时、温度、降频、错误与输出。</x:v>
      </x:c>
    </x:row>
    <x:row r="19" ht="68.25" customHeight="1">
      <x:c r="A19" s="21" t="str">
        <x:v>工程可行性Gate</x:v>
      </x:c>
      <x:c r="B19" s="21" t="str">
        <x:v>NEEDS VALIDATION</x:v>
      </x:c>
      <x:c r="C19" s="21" t="str">
        <x:v>不能继承旧16GB办公主机结论</x:v>
      </x:c>
      <x:c r="D19" s="21" t="str">
        <x:v>完整人民币报价、内存、速度、软件兼容与局域网采音仍待验证。</x:v>
      </x:c>
    </x:row>
    <x:row r="20" ht="68.25" customHeight="1">
      <x:c r="A20" s="22" t="str">
        <x:v>Alpha出口</x:v>
      </x:c>
      <x:c r="B20" s="22" t="str">
        <x:v>≤3000元、离线、连续5次真实音频E2E、证据完整</x:v>
      </x:c>
      <x:c r="C20" s="22" t="str">
        <x:v>标准保持原样</x:v>
      </x:c>
      <x:c r="D20" s="22" t="str">
        <x:v>最小实验成功也不能直接宣称M4或Alpha通过。</x:v>
      </x:c>
    </x:row>
    <x:row r="21" ht="26.25" customHeight="1">
      <x:c r="A21" s="4"/>
      <x:c r="B21" s="4"/>
      <x:c r="C21" s="4"/>
      <x:c r="D21" s="4"/>
    </x:row>
    <x:row r="22" ht="41.25" customHeight="1">
      <x:c r="A22" s="9" t="str">
        <x:v>最小验证：真实短音频ASR → 释放内存 → 真实LLM生成草稿。记录版本、内存、耗时、温度和错误。本轮未执行。</x:v>
      </x:c>
      <x:c r="B22" s="9" t="str">
        <x:v>最小验证：真实短音频ASR → 释放内存 → 真实LLM生成草稿。记录版本、内存、耗时、温度和错误。本轮未执行。</x:v>
      </x:c>
      <x:c r="C22" s="9" t="str">
        <x:v>最小验证：真实短音频ASR → 释放内存 → 真实LLM生成草稿。记录版本、内存、耗时、温度和错误。本轮未执行。</x:v>
      </x:c>
      <x:c r="D22" s="9" t="str">
        <x:v>最小验证：真实短音频ASR → 释放内存 → 真实LLM生成草稿。记录版本、内存、耗时、温度和错误。本轮未执行。</x:v>
      </x:c>
    </x:row>
    <x:row r="23" ht="26.25" customHeight="1">
      <x:c r="A23" s="4"/>
      <x:c r="B23" s="4"/>
      <x:c r="C23" s="4"/>
      <x:c r="D23" s="4"/>
    </x:row>
  </x:sheetData>
  <x:mergeCells>
    <x:mergeCell ref="A2:D2"/>
    <x:mergeCell ref="A3:D3"/>
    <x:mergeCell ref="A4:D4"/>
    <x:mergeCell ref="A22:D22"/>
  </x:mergeCells>
  <x:pageMargins left="0.7" right="0.7" top="0.75" bottom="0.75" header="0.3" footer="0.3"/>
  <x:tableParts count="1">
    <x:tablePart xmlns:r="http://schemas.openxmlformats.org/officeDocument/2006/relationships" r:id="Rf8ad4b0dd2874211"/>
  </x:tableParts>
</x:worksheet>
</file>